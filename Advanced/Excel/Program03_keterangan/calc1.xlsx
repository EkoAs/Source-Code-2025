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_rels/workbook.xml.rels" ContentType="application/vnd.openxmlformats-package.relationships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2.xml.rels" ContentType="application/vnd.openxmlformats-package.relationships+xml"/>
  <Override PartName="/xl/pivotTables/_rels/pivotTable3.xml.rels" ContentType="application/vnd.openxmlformats-package.relationships+xml"/>
  <Override PartName="/xl/pivotTables/_rels/pivotTable1.xml.rels" ContentType="application/vnd.openxmlformats-package.relationship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pivotCache/pivotCacheRecords2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_rels/pivotCacheDefinition1.xml.rels" ContentType="application/vnd.openxmlformats-package.relationships+xml"/>
  <Override PartName="/xl/pivotCache/_rels/pivotCacheDefinition2.xml.rels" ContentType="application/vnd.openxmlformats-package.relationship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heet1_2" sheetId="1" state="visible" r:id="rId3"/>
    <sheet name="Latiha" sheetId="2" state="visible" r:id="rId4"/>
    <sheet name="Sheet1" sheetId="3" state="visible" r:id="rId5"/>
    <sheet name="Pivot Table_Sheet1_2" sheetId="4" state="visible" r:id="rId6"/>
  </sheets>
  <calcPr iterateCount="100" refMode="A1" iterate="false" iterateDelta="0.001"/>
  <pivotCaches>
    <pivotCache cacheId="1" r:id="rId8"/>
    <pivotCache cacheId="2" r:id="rId9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<sst xmlns="http://schemas.openxmlformats.org/spreadsheetml/2006/main" count="56" uniqueCount="40">
  <si>
    <t xml:space="preserve">jumlah mahasiswa aktif</t>
  </si>
  <si>
    <t xml:space="preserve">no</t>
  </si>
  <si>
    <t xml:space="preserve">Tahun</t>
  </si>
  <si>
    <t xml:space="preserve">prodi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</si>
  <si>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</si>
  <si>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</si>
  <si>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</si>
  <si>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</si>
  <si>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</si>
  <si>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</si>
  <si>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Fakultas TM S1</t>
  </si>
  <si>
    <t xml:space="preserve">Fakultas Teks D3</t>
  </si>
  <si>
    <t xml:space="preserve">Fakultas MI S1</t>
  </si>
  <si>
    <t xml:space="preserve">Fakultas MI D3</t>
  </si>
  <si>
    <t xml:space="preserve">Fakultas TIF S1</t>
  </si>
  <si>
    <t xml:space="preserve">Fakultas TI S1</t>
  </si>
  <si>
    <t xml:space="preserve">Max</t>
  </si>
  <si>
    <t xml:space="preserve">Min</t>
  </si>
  <si>
    <t xml:space="preserve">Total</t>
  </si>
  <si>
    <t xml:space="preserve">Rata-rata Total (AVG)</t>
  </si>
  <si>
    <t xml:space="preserve">Rata-rata Total/Tahun(AVG)</t>
  </si>
  <si>
    <t xml:space="preserve">Jumlah baris / count</t>
  </si>
  <si>
    <t xml:space="preserve">Server</t>
  </si>
  <si>
    <t xml:space="preserve">Uptime</t>
  </si>
  <si>
    <t xml:space="preserve">Status</t>
  </si>
  <si>
    <t xml:space="preserve">ServerA</t>
  </si>
  <si>
    <t xml:space="preserve">Active</t>
  </si>
  <si>
    <t xml:space="preserve">ServerB</t>
  </si>
  <si>
    <t xml:space="preserve">Down</t>
  </si>
  <si>
    <t xml:space="preserve">ServerC</t>
  </si>
  <si>
    <t xml:space="preserve">tanggal</t>
  </si>
  <si>
    <t xml:space="preserve">kategori</t>
  </si>
  <si>
    <t xml:space="preserve">penjualan</t>
  </si>
  <si>
    <t xml:space="preserve">sotfware</t>
  </si>
  <si>
    <t xml:space="preserve">hdware</t>
  </si>
  <si>
    <t xml:space="preserve">Data</t>
  </si>
  <si>
    <t xml:space="preserve">Sum - kategori</t>
  </si>
  <si>
    <t xml:space="preserve">Sum - penjualan</t>
  </si>
  <si>
    <t xml:space="preserve">Sum - Uptime</t>
  </si>
  <si>
    <t xml:space="preserve">Sum - Status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</si>
</sst>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10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Times New Roman"/>
      <family val="1"/>
      <charset val="1"/>
    </font>
    <font>
      <b val="true"/>
      <sz val="10"/>
      <name val="Times New Roman"/>
      <family val="1"/>
      <charset val="1"/>
    </font>
    <font>
      <sz val="9"/>
      <name val="Times New Roman"/>
      <family val="1"/>
      <charset val="1"/>
    </font>
    <font>
      <sz val="10"/>
      <color rgb="FF00000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5CE"/>
        <bgColor rgb="FFFFFFA6"/>
      </patternFill>
    </fill>
    <fill>
      <patternFill patternType="solid">
        <fgColor rgb="FFFFFF6D"/>
        <bgColor rgb="FFFFFFA6"/>
      </patternFill>
    </fill>
    <fill>
      <patternFill patternType="solid">
        <fgColor rgb="FFFFFFA6"/>
        <bgColor rgb="FFFFF5CE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6D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83CA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Sheet1_2!$B$4</c:f>
              <c:strCache>
                <c:ptCount val="1"/>
                <c:pt idx="0">
                  <c:v>Fakultas TM S1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Sheet1_2!$C$3:$H$3</c:f>
              <c:strCache>
                <c:ptCount val="6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</c:strCache>
            </c:strRef>
          </c:cat>
          <c:val>
            <c:numRef>
              <c:f>Sheet1_2!$C$4:$H$4</c:f>
              <c:numCache>
                <c:formatCode>General</c:formatCode>
                <c:ptCount val="6"/>
                <c:pt idx="0">
                  <c:v>200</c:v>
                </c:pt>
                <c:pt idx="1">
                  <c:v>210</c:v>
                </c:pt>
                <c:pt idx="2">
                  <c:v>220</c:v>
                </c:pt>
                <c:pt idx="3">
                  <c:v>230</c:v>
                </c:pt>
                <c:pt idx="4">
                  <c:v>240</c:v>
                </c:pt>
                <c:pt idx="5">
                  <c:v>250</c:v>
                </c:pt>
              </c:numCache>
            </c:numRef>
          </c:val>
        </c:ser>
        <c:ser>
          <c:idx val="1"/>
          <c:order val="1"/>
          <c:tx>
            <c:strRef>
              <c:f>Sheet1_2!$B$5</c:f>
              <c:strCache>
                <c:ptCount val="1"/>
                <c:pt idx="0">
                  <c:v>Fakultas Teks D3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Sheet1_2!$C$3:$H$3</c:f>
              <c:strCache>
                <c:ptCount val="6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</c:strCache>
            </c:strRef>
          </c:cat>
          <c:val>
            <c:numRef>
              <c:f>Sheet1_2!$C$5:$H$5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</c:numCache>
            </c:numRef>
          </c:val>
        </c:ser>
        <c:ser>
          <c:idx val="2"/>
          <c:order val="2"/>
          <c:tx>
            <c:strRef>
              <c:f>Sheet1_2!$B$6</c:f>
              <c:strCache>
                <c:ptCount val="1"/>
                <c:pt idx="0">
                  <c:v>Fakultas MI S1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Sheet1_2!$C$3:$H$3</c:f>
              <c:strCache>
                <c:ptCount val="6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</c:strCache>
            </c:strRef>
          </c:cat>
          <c:val>
            <c:numRef>
              <c:f>Sheet1_2!$C$6:$H$6</c:f>
              <c:numCache>
                <c:formatCode>General</c:formatCode>
                <c:ptCount val="6"/>
                <c:pt idx="0">
                  <c:v>600</c:v>
                </c:pt>
                <c:pt idx="1">
                  <c:v>610</c:v>
                </c:pt>
                <c:pt idx="2">
                  <c:v>620</c:v>
                </c:pt>
                <c:pt idx="3">
                  <c:v>630</c:v>
                </c:pt>
                <c:pt idx="4">
                  <c:v>640</c:v>
                </c:pt>
                <c:pt idx="5">
                  <c:v>650</c:v>
                </c:pt>
              </c:numCache>
            </c:numRef>
          </c:val>
        </c:ser>
        <c:ser>
          <c:idx val="3"/>
          <c:order val="3"/>
          <c:tx>
            <c:strRef>
              <c:f>Sheet1_2!$B$7</c:f>
              <c:strCache>
                <c:ptCount val="1"/>
                <c:pt idx="0">
                  <c:v>Fakultas MI D3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Sheet1_2!$C$3:$H$3</c:f>
              <c:strCache>
                <c:ptCount val="6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</c:strCache>
            </c:strRef>
          </c:cat>
          <c:val>
            <c:numRef>
              <c:f>Sheet1_2!$C$7:$H$7</c:f>
              <c:numCache>
                <c:formatCode>General</c:formatCode>
                <c:ptCount val="6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</c:numCache>
            </c:numRef>
          </c:val>
        </c:ser>
        <c:ser>
          <c:idx val="4"/>
          <c:order val="4"/>
          <c:tx>
            <c:strRef>
              <c:f>Sheet1_2!$B$8</c:f>
              <c:strCache>
                <c:ptCount val="1"/>
                <c:pt idx="0">
                  <c:v>Fakultas TIF S1</c:v>
                </c:pt>
              </c:strCache>
            </c:strRef>
          </c:tx>
          <c:spPr>
            <a:solidFill>
              <a:srgbClr val="7e002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Sheet1_2!$C$3:$H$3</c:f>
              <c:strCache>
                <c:ptCount val="6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</c:strCache>
            </c:strRef>
          </c:cat>
          <c:val>
            <c:numRef>
              <c:f>Sheet1_2!$C$8:$H$8</c:f>
              <c:numCache>
                <c:formatCode>General</c:formatCode>
                <c:ptCount val="6"/>
                <c:pt idx="0">
                  <c:v>500</c:v>
                </c:pt>
                <c:pt idx="1">
                  <c:v>510</c:v>
                </c:pt>
                <c:pt idx="2">
                  <c:v>520</c:v>
                </c:pt>
                <c:pt idx="3">
                  <c:v>530</c:v>
                </c:pt>
                <c:pt idx="4">
                  <c:v>540</c:v>
                </c:pt>
                <c:pt idx="5">
                  <c:v>550</c:v>
                </c:pt>
              </c:numCache>
            </c:numRef>
          </c:val>
        </c:ser>
        <c:ser>
          <c:idx val="5"/>
          <c:order val="5"/>
          <c:tx>
            <c:strRef>
              <c:f>Sheet1_2!$B$9</c:f>
              <c:strCache>
                <c:ptCount val="1"/>
                <c:pt idx="0">
                  <c:v>Fakultas TI S1</c:v>
                </c:pt>
              </c:strCache>
            </c:strRef>
          </c:tx>
          <c:spPr>
            <a:solidFill>
              <a:srgbClr val="83ca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Sheet1_2!$C$3:$H$3</c:f>
              <c:strCache>
                <c:ptCount val="6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</c:strCache>
            </c:strRef>
          </c:cat>
          <c:val>
            <c:numRef>
              <c:f>Sheet1_2!$C$9:$H$9</c:f>
              <c:numCache>
                <c:formatCode>General</c:formatCode>
                <c:ptCount val="6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</c:numCache>
            </c:numRef>
          </c:val>
        </c:ser>
        <c:gapWidth val="100"/>
        <c:overlap val="0"/>
        <c:axId val="51893698"/>
        <c:axId val="51511557"/>
      </c:barChart>
      <c:catAx>
        <c:axId val="51893698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lang="en-US" sz="9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Tahun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-#,##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51511557"/>
        <c:crosses val="autoZero"/>
        <c:auto val="1"/>
        <c:lblAlgn val="ctr"/>
        <c:lblOffset val="100"/>
        <c:noMultiLvlLbl val="0"/>
      </c:catAx>
      <c:valAx>
        <c:axId val="5151155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51893698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239760</xdr:colOff>
      <xdr:row>0</xdr:row>
      <xdr:rowOff>143280</xdr:rowOff>
    </xdr:from>
    <xdr:to>
      <xdr:col>15</xdr:col>
      <xdr:colOff>309240</xdr:colOff>
      <xdr:row>20</xdr:row>
      <xdr:rowOff>131400</xdr:rowOff>
    </xdr:to>
    <xdr:graphicFrame>
      <xdr:nvGraphicFramePr>
        <xdr:cNvPr id="1" name="Chart 1"/>
        <xdr:cNvGraphicFramePr/>
      </xdr:nvGraphicFramePr>
      <xdr:xfrm>
        <a:off x="5254200" y="143280"/>
        <a:ext cx="5776920" cy="3226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4" createdVersion="3">
  <cacheSource type="worksheet">
    <worksheetSource ref="A1:C5" sheet="Sheet1"/>
  </cacheSource>
  <cacheFields count="3">
    <cacheField name="tanggal" numFmtId="0">
      <sharedItems containsSemiMixedTypes="0" containsNonDate="0" containsDate="1" containsString="0" minDate="2026-01-01T00:00:00" maxDate="2026-02-01T00:00:00" count="2">
        <d v="2026-01-01T00:00:00"/>
        <d v="2026-02-01T00:00:00"/>
      </sharedItems>
    </cacheField>
    <cacheField name="kategori" numFmtId="0">
      <sharedItems count="2">
        <s v="hdware"/>
        <s v="sotfware"/>
      </sharedItems>
    </cacheField>
    <cacheField name="penjualan" numFmtId="0">
      <sharedItems containsSemiMixedTypes="0" containsString="0" containsNumber="1" containsInteger="1" minValue="300" maxValue="1000" count="4">
        <n v="300"/>
        <n v="450"/>
        <n v="500"/>
        <n v="100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3" createdVersion="3">
  <cacheSource type="worksheet">
    <worksheetSource ref="A14:C17" sheet="Sheet1"/>
  </cacheSource>
  <cacheFields count="3">
    <cacheField name="Server" numFmtId="0">
      <sharedItems count="3">
        <s v="ServerA"/>
        <s v="ServerB"/>
        <s v="ServerC"/>
      </sharedItems>
    </cacheField>
    <cacheField name="Uptime" numFmtId="0">
      <sharedItems containsSemiMixedTypes="0" containsString="0" containsNumber="1" containsInteger="1" minValue="80" maxValue="99" count="3">
        <n v="80"/>
        <n v="95"/>
        <n v="99"/>
      </sharedItems>
    </cacheField>
    <cacheField name="Status" numFmtId="0">
      <sharedItems count="2">
        <s v="Active"/>
        <s v="Down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">
  <r>
    <x v="0"/>
    <x v="1"/>
    <x v="2"/>
  </r>
  <r>
    <x v="0"/>
    <x v="0"/>
    <x v="3"/>
  </r>
  <r>
    <x v="1"/>
    <x v="1"/>
    <x v="0"/>
  </r>
  <r>
    <x v="1"/>
    <x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">
  <r>
    <x v="0"/>
    <x v="2"/>
    <x v="0"/>
  </r>
  <r>
    <x v="1"/>
    <x v="0"/>
    <x v="1"/>
  </r>
  <r>
    <x v="2"/>
    <x v="1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3" firstHeaderRow="1" firstDataRow="2" firstDataCol="0"/>
  <pivotFields count="3">
    <pivotField compact="0" showAll="0"/>
    <pivotField dataField="1" compact="0" showAll="0" outline="0"/>
    <pivotField dataField="1" compact="0" showAll="0" outline="0"/>
  </pivotFields>
  <rowItems count="1">
    <i t="grand">
      <x v="0"/>
    </i>
  </rowItems>
  <colFields count="1">
    <field x="-2"/>
  </colFields>
  <colItems count="1">
    <i t="grand">
      <x v="0"/>
    </i>
  </colItems>
  <dataFields count="2">
    <dataField name="Sum - kategori" fld="1" subtotal="sum" numFmtId="164"/>
    <dataField name="Sum - penjualan" fld="2" subtotal="sum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2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C6:D8" firstHeaderRow="1" firstDataRow="2" firstDataCol="0"/>
  <pivotFields count="3">
    <pivotField compact="0" showAll="0"/>
    <pivotField dataField="1" compact="0" showAll="0" outline="0"/>
    <pivotField dataField="1" compact="0" showAll="0" outline="0"/>
  </pivotFields>
  <rowItems count="1">
    <i t="grand">
      <x v="0"/>
    </i>
  </rowItems>
  <colFields count="1">
    <field x="-2"/>
  </colFields>
  <colItems count="1">
    <i t="grand">
      <x v="0"/>
    </i>
  </colItems>
  <dataFields count="2">
    <dataField name="Sum - kategori" fld="1" subtotal="sum" numFmtId="164"/>
    <dataField name="Sum - penjualan" fld="2" subtotal="sum" numFmtId="164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DataPilot3" cacheId="2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C18:D20" firstHeaderRow="1" firstDataRow="2" firstDataCol="0"/>
  <pivotFields count="3">
    <pivotField compact="0" showAll="0"/>
    <pivotField dataField="1" compact="0" showAll="0" outline="0"/>
    <pivotField dataField="1" compact="0" showAll="0" outline="0"/>
  </pivotFields>
  <rowItems count="1">
    <i t="grand">
      <x v="0"/>
    </i>
  </rowItems>
  <colFields count="1">
    <field x="-2"/>
  </colFields>
  <colItems count="1">
    <i t="grand">
      <x v="0"/>
    </i>
  </colItems>
  <dataFields count="2">
    <dataField name="Sum - Uptime" fld="1" subtotal="sum" numFmtId="164"/>
    <dataField name="Sum - Status" fld="2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1" activeCellId="0" sqref="E31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.86"/>
    <col collapsed="false" customWidth="true" hidden="false" outlineLevel="0" max="4" min="3" style="0" width="7"/>
    <col collapsed="false" customWidth="true" hidden="false" outlineLevel="0" max="5" min="5" style="0" width="7.15"/>
    <col collapsed="false" customWidth="true" hidden="false" outlineLevel="0" max="7" min="6" style="0" width="7"/>
    <col collapsed="false" customWidth="true" hidden="false" outlineLevel="0" max="8" min="8" style="0" width="7.15"/>
  </cols>
  <sheetData>
    <row r="1" customFormat="false" ht="12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2.75" hidden="false" customHeight="false" outlineLevel="0" collapsed="false">
      <c r="A2" s="2" t="s">
        <v>1</v>
      </c>
      <c r="B2" s="2"/>
      <c r="C2" s="3" t="s">
        <v>2</v>
      </c>
      <c r="D2" s="3"/>
      <c r="E2" s="3"/>
      <c r="F2" s="3"/>
      <c r="G2" s="3"/>
      <c r="H2" s="3"/>
    </row>
    <row r="3" customFormat="false" ht="12.75" hidden="false" customHeight="false" outlineLevel="0" collapsed="false">
      <c r="A3" s="2"/>
      <c r="B3" s="3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customFormat="false" ht="12.75" hidden="false" customHeight="false" outlineLevel="0" collapsed="false">
      <c r="A4" s="5" t="n">
        <v>1</v>
      </c>
      <c r="B4" s="6" t="s">
        <v>10</v>
      </c>
      <c r="C4" s="5" t="n">
        <f aca="false">200</f>
        <v>200</v>
      </c>
      <c r="D4" s="5" t="n">
        <v>210</v>
      </c>
      <c r="E4" s="5" t="n">
        <v>220</v>
      </c>
      <c r="F4" s="5" t="n">
        <v>230</v>
      </c>
      <c r="G4" s="5" t="n">
        <v>240</v>
      </c>
      <c r="H4" s="5" t="n">
        <v>250</v>
      </c>
    </row>
    <row r="5" customFormat="false" ht="12.75" hidden="false" customHeight="false" outlineLevel="0" collapsed="false">
      <c r="A5" s="5" t="n">
        <v>2</v>
      </c>
      <c r="B5" s="6" t="s">
        <v>11</v>
      </c>
      <c r="C5" s="5" t="n">
        <v>80</v>
      </c>
      <c r="D5" s="5" t="n">
        <v>90</v>
      </c>
      <c r="E5" s="5" t="n">
        <v>100</v>
      </c>
      <c r="F5" s="5" t="n">
        <v>110</v>
      </c>
      <c r="G5" s="5" t="n">
        <v>120</v>
      </c>
      <c r="H5" s="5" t="n">
        <v>130</v>
      </c>
    </row>
    <row r="6" customFormat="false" ht="12.75" hidden="false" customHeight="false" outlineLevel="0" collapsed="false">
      <c r="A6" s="5" t="n">
        <v>3</v>
      </c>
      <c r="B6" s="6" t="s">
        <v>12</v>
      </c>
      <c r="C6" s="5" t="n">
        <v>600</v>
      </c>
      <c r="D6" s="5" t="n">
        <v>610</v>
      </c>
      <c r="E6" s="5" t="n">
        <v>620</v>
      </c>
      <c r="F6" s="5" t="n">
        <v>630</v>
      </c>
      <c r="G6" s="5" t="n">
        <v>640</v>
      </c>
      <c r="H6" s="5" t="n">
        <v>650</v>
      </c>
    </row>
    <row r="7" customFormat="false" ht="12.75" hidden="false" customHeight="false" outlineLevel="0" collapsed="false">
      <c r="A7" s="5" t="n">
        <v>4</v>
      </c>
      <c r="B7" s="6" t="s">
        <v>13</v>
      </c>
      <c r="C7" s="5" t="n">
        <v>700</v>
      </c>
      <c r="D7" s="5" t="n">
        <v>710</v>
      </c>
      <c r="E7" s="5" t="n">
        <v>720</v>
      </c>
      <c r="F7" s="5" t="n">
        <v>730</v>
      </c>
      <c r="G7" s="5" t="n">
        <v>740</v>
      </c>
      <c r="H7" s="5" t="n">
        <v>750</v>
      </c>
    </row>
    <row r="8" customFormat="false" ht="12.75" hidden="false" customHeight="false" outlineLevel="0" collapsed="false">
      <c r="A8" s="5" t="n">
        <v>5</v>
      </c>
      <c r="B8" s="6" t="s">
        <v>14</v>
      </c>
      <c r="C8" s="5" t="n">
        <v>500</v>
      </c>
      <c r="D8" s="5" t="n">
        <v>510</v>
      </c>
      <c r="E8" s="5" t="n">
        <v>520</v>
      </c>
      <c r="F8" s="5" t="n">
        <v>530</v>
      </c>
      <c r="G8" s="5" t="n">
        <v>540</v>
      </c>
      <c r="H8" s="5" t="n">
        <v>550</v>
      </c>
    </row>
    <row r="9" customFormat="false" ht="12.75" hidden="false" customHeight="false" outlineLevel="0" collapsed="false">
      <c r="A9" s="5" t="n">
        <v>6</v>
      </c>
      <c r="B9" s="6" t="s">
        <v>15</v>
      </c>
      <c r="C9" s="5" t="n">
        <v>300</v>
      </c>
      <c r="D9" s="5" t="n">
        <v>310</v>
      </c>
      <c r="E9" s="5" t="n">
        <v>320</v>
      </c>
      <c r="F9" s="5" t="n">
        <v>330</v>
      </c>
      <c r="G9" s="5" t="n">
        <v>340</v>
      </c>
      <c r="H9" s="5" t="n">
        <v>350</v>
      </c>
    </row>
    <row r="10" customFormat="false" ht="12.75" hidden="false" customHeight="false" outlineLevel="0" collapsed="false">
      <c r="A10" s="7"/>
      <c r="B10" s="8" t="s">
        <v>16</v>
      </c>
      <c r="C10" s="9" t="n">
        <f aca="false">MAX(C4:C9)</f>
        <v>700</v>
      </c>
      <c r="D10" s="9" t="n">
        <f aca="false">MAX(D4:D9)</f>
        <v>710</v>
      </c>
      <c r="E10" s="9" t="n">
        <f aca="false">MAX(E4:E9)</f>
        <v>720</v>
      </c>
      <c r="F10" s="9" t="n">
        <f aca="false">MAX(F4:F9)</f>
        <v>730</v>
      </c>
      <c r="G10" s="9" t="n">
        <f aca="false">MAX(G4:G9)</f>
        <v>740</v>
      </c>
      <c r="H10" s="9" t="n">
        <f aca="false">MAX(H4:H9)</f>
        <v>750</v>
      </c>
    </row>
    <row r="11" customFormat="false" ht="12.75" hidden="false" customHeight="false" outlineLevel="0" collapsed="false">
      <c r="A11" s="7"/>
      <c r="B11" s="8" t="s">
        <v>17</v>
      </c>
      <c r="C11" s="9" t="n">
        <f aca="false">MIN(C4:C9)</f>
        <v>80</v>
      </c>
      <c r="D11" s="9" t="n">
        <f aca="false">MIN(D4:D9)</f>
        <v>90</v>
      </c>
      <c r="E11" s="9" t="n">
        <f aca="false">MIN(E4:E9)</f>
        <v>100</v>
      </c>
      <c r="F11" s="9" t="n">
        <f aca="false">MIN(F4:F9)</f>
        <v>110</v>
      </c>
      <c r="G11" s="9" t="n">
        <f aca="false">MIN(G4:G9)</f>
        <v>120</v>
      </c>
      <c r="H11" s="9" t="n">
        <f aca="false">MIN(H4:H9)</f>
        <v>130</v>
      </c>
    </row>
    <row r="12" customFormat="false" ht="12.75" hidden="false" customHeight="false" outlineLevel="0" collapsed="false">
      <c r="A12" s="7"/>
      <c r="B12" s="8" t="s">
        <v>18</v>
      </c>
      <c r="C12" s="9" t="n">
        <f aca="false">SUM(C4:C9)</f>
        <v>2380</v>
      </c>
      <c r="D12" s="9" t="n">
        <f aca="false">SUM(D4:D9)</f>
        <v>2440</v>
      </c>
      <c r="E12" s="9" t="n">
        <f aca="false">SUM(E4:E9)</f>
        <v>2500</v>
      </c>
      <c r="F12" s="9" t="n">
        <f aca="false">SUM(F4:F9)</f>
        <v>2560</v>
      </c>
      <c r="G12" s="9" t="n">
        <f aca="false">SUM(G4:G9)</f>
        <v>2620</v>
      </c>
      <c r="H12" s="9" t="n">
        <f aca="false">SUM(H4:H9)</f>
        <v>2680</v>
      </c>
    </row>
    <row r="13" customFormat="false" ht="12.75" hidden="false" customHeight="false" outlineLevel="0" collapsed="false">
      <c r="A13" s="7"/>
      <c r="B13" s="8" t="s">
        <v>19</v>
      </c>
      <c r="C13" s="9" t="n">
        <f aca="false">AVERAGE(C12:H12)</f>
        <v>2530</v>
      </c>
      <c r="D13" s="9"/>
      <c r="E13" s="9"/>
      <c r="F13" s="9"/>
      <c r="G13" s="9"/>
      <c r="H13" s="9"/>
    </row>
    <row r="14" customFormat="false" ht="12.75" hidden="false" customHeight="false" outlineLevel="0" collapsed="false">
      <c r="A14" s="7"/>
      <c r="B14" s="8" t="s">
        <v>20</v>
      </c>
      <c r="C14" s="9" t="n">
        <f aca="false">AVERAGE(C4:C9)</f>
        <v>396.666666666667</v>
      </c>
      <c r="D14" s="9" t="n">
        <f aca="false">AVERAGE(D4:D9)</f>
        <v>406.666666666667</v>
      </c>
      <c r="E14" s="9" t="n">
        <f aca="false">AVERAGE(E4:E9)</f>
        <v>416.666666666667</v>
      </c>
      <c r="F14" s="9" t="n">
        <f aca="false">AVERAGE(F4:F9)</f>
        <v>426.666666666667</v>
      </c>
      <c r="G14" s="9" t="n">
        <f aca="false">AVERAGE(G4:G9)</f>
        <v>436.666666666667</v>
      </c>
      <c r="H14" s="9" t="n">
        <f aca="false">AVERAGE(H4:H9)</f>
        <v>446.666666666667</v>
      </c>
    </row>
    <row r="15" customFormat="false" ht="12.75" hidden="false" customHeight="false" outlineLevel="0" collapsed="false">
      <c r="A15" s="7"/>
      <c r="B15" s="8" t="s">
        <v>21</v>
      </c>
      <c r="C15" s="9" t="n">
        <f aca="false">COUNT(C4:C9)</f>
        <v>6</v>
      </c>
      <c r="D15" s="9" t="n">
        <f aca="false">COUNT(D4:D9)</f>
        <v>6</v>
      </c>
      <c r="E15" s="9" t="n">
        <f aca="false">COUNT(E4:E9)</f>
        <v>6</v>
      </c>
      <c r="F15" s="9" t="n">
        <f aca="false">COUNT(F4:F9)</f>
        <v>6</v>
      </c>
      <c r="G15" s="9" t="n">
        <f aca="false">COUNT(G4:G9)</f>
        <v>6</v>
      </c>
      <c r="H15" s="9" t="n">
        <f aca="false">COUNT(H4:H9)</f>
        <v>6</v>
      </c>
    </row>
  </sheetData>
  <mergeCells count="3">
    <mergeCell ref="A1:H1"/>
    <mergeCell ref="A2:A3"/>
    <mergeCell ref="C2:H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7.88"/>
    <col collapsed="false" customWidth="true" hidden="false" outlineLevel="0" max="2" min="2" style="0" width="7.06"/>
    <col collapsed="false" customWidth="true" hidden="false" outlineLevel="0" max="3" min="3" style="0" width="6.66"/>
  </cols>
  <sheetData>
    <row r="1" customFormat="false" ht="12.8" hidden="false" customHeight="false" outlineLevel="0" collapsed="false">
      <c r="A1" s="0" t="s">
        <v>22</v>
      </c>
      <c r="B1" s="0" t="s">
        <v>23</v>
      </c>
      <c r="C1" s="0" t="s">
        <v>24</v>
      </c>
    </row>
    <row r="2" customFormat="false" ht="12.8" hidden="false" customHeight="false" outlineLevel="0" collapsed="false">
      <c r="A2" s="0" t="s">
        <v>25</v>
      </c>
      <c r="B2" s="0" t="n">
        <v>99</v>
      </c>
      <c r="C2" s="0" t="s">
        <v>26</v>
      </c>
    </row>
    <row r="3" customFormat="false" ht="12.8" hidden="false" customHeight="false" outlineLevel="0" collapsed="false">
      <c r="A3" s="0" t="s">
        <v>27</v>
      </c>
      <c r="B3" s="0" t="n">
        <v>80</v>
      </c>
      <c r="C3" s="0" t="s">
        <v>28</v>
      </c>
    </row>
    <row r="4" customFormat="false" ht="12.8" hidden="false" customHeight="false" outlineLevel="0" collapsed="false">
      <c r="A4" s="0" t="s">
        <v>29</v>
      </c>
      <c r="B4" s="0" t="n">
        <v>95</v>
      </c>
      <c r="C4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8" activeCellId="0" sqref="G18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30</v>
      </c>
      <c r="B1" s="0" t="s">
        <v>31</v>
      </c>
      <c r="C1" s="0" t="s">
        <v>32</v>
      </c>
    </row>
    <row r="2" customFormat="false" ht="12.8" hidden="false" customHeight="false" outlineLevel="0" collapsed="false">
      <c r="A2" s="10" t="n">
        <v>46023</v>
      </c>
      <c r="B2" s="11" t="s">
        <v>33</v>
      </c>
      <c r="C2" s="0" t="n">
        <v>500</v>
      </c>
    </row>
    <row r="3" customFormat="false" ht="12.8" hidden="false" customHeight="false" outlineLevel="0" collapsed="false">
      <c r="A3" s="10" t="n">
        <v>46023</v>
      </c>
      <c r="B3" s="0" t="s">
        <v>34</v>
      </c>
      <c r="C3" s="0" t="n">
        <v>1000</v>
      </c>
    </row>
    <row r="4" customFormat="false" ht="12.8" hidden="false" customHeight="false" outlineLevel="0" collapsed="false">
      <c r="A4" s="10" t="n">
        <v>46054</v>
      </c>
      <c r="B4" s="0" t="s">
        <v>33</v>
      </c>
      <c r="C4" s="0" t="n">
        <v>300</v>
      </c>
    </row>
    <row r="5" customFormat="false" ht="12.8" hidden="false" customHeight="false" outlineLevel="0" collapsed="false">
      <c r="A5" s="10" t="n">
        <v>46054</v>
      </c>
      <c r="B5" s="0" t="s">
        <v>34</v>
      </c>
      <c r="C5" s="0" t="n">
        <v>450</v>
      </c>
    </row>
    <row r="6" customFormat="false" ht="12.8" hidden="false" customHeight="false" outlineLevel="0" collapsed="false">
      <c r="C6" s="12" t="s">
        <v>35</v>
      </c>
      <c r="D6" s="13"/>
    </row>
    <row r="7" customFormat="false" ht="12.8" hidden="false" customHeight="false" outlineLevel="0" collapsed="false">
      <c r="C7" s="14" t="s">
        <v>36</v>
      </c>
      <c r="D7" s="15" t="s">
        <v>37</v>
      </c>
    </row>
    <row r="8" customFormat="false" ht="12.8" hidden="false" customHeight="false" outlineLevel="0" collapsed="false">
      <c r="C8" s="16"/>
      <c r="D8" s="17" t="n">
        <v>2250</v>
      </c>
    </row>
    <row r="14" customFormat="false" ht="15.8" hidden="false" customHeight="false" outlineLevel="0" collapsed="false">
      <c r="A14" s="18" t="s">
        <v>22</v>
      </c>
      <c r="B14" s="18" t="s">
        <v>23</v>
      </c>
      <c r="C14" s="18" t="s">
        <v>24</v>
      </c>
    </row>
    <row r="15" customFormat="false" ht="15.8" hidden="false" customHeight="false" outlineLevel="0" collapsed="false">
      <c r="A15" s="18" t="s">
        <v>25</v>
      </c>
      <c r="B15" s="18" t="n">
        <v>99</v>
      </c>
      <c r="C15" s="18" t="s">
        <v>26</v>
      </c>
    </row>
    <row r="16" customFormat="false" ht="15.8" hidden="false" customHeight="false" outlineLevel="0" collapsed="false">
      <c r="A16" s="18" t="s">
        <v>27</v>
      </c>
      <c r="B16" s="18" t="n">
        <v>80</v>
      </c>
      <c r="C16" s="18" t="s">
        <v>28</v>
      </c>
    </row>
    <row r="17" customFormat="false" ht="15.8" hidden="false" customHeight="false" outlineLevel="0" collapsed="false">
      <c r="A17" s="18" t="s">
        <v>29</v>
      </c>
      <c r="B17" s="18" t="n">
        <v>95</v>
      </c>
      <c r="C17" s="18" t="s">
        <v>26</v>
      </c>
    </row>
    <row r="18" customFormat="false" ht="12.8" hidden="false" customHeight="false" outlineLevel="0" collapsed="false">
      <c r="C18" s="12" t="s">
        <v>35</v>
      </c>
      <c r="D18" s="13"/>
    </row>
    <row r="19" customFormat="false" ht="12.8" hidden="false" customHeight="false" outlineLevel="0" collapsed="false">
      <c r="C19" s="14" t="s">
        <v>38</v>
      </c>
      <c r="D19" s="15" t="s">
        <v>39</v>
      </c>
    </row>
    <row r="20" customFormat="false" ht="12.8" hidden="false" customHeight="false" outlineLevel="0" collapsed="false">
      <c r="C20" s="19" t="n">
        <v>274</v>
      </c>
      <c r="D20" s="20"/>
    </row>
  </sheetData>
  <dataValidations count="1">
    <dataValidation allowBlank="true" errorStyle="stop" operator="equal" showDropDown="false" showErrorMessage="true" showInputMessage="false" sqref="E14" type="list">
      <formula1>"Active,Down,Maintenance"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2" t="s">
        <v>35</v>
      </c>
      <c r="B1" s="13"/>
    </row>
    <row r="2" customFormat="false" ht="12.8" hidden="false" customHeight="false" outlineLevel="0" collapsed="false">
      <c r="A2" s="14" t="s">
        <v>36</v>
      </c>
      <c r="B2" s="15" t="s">
        <v>37</v>
      </c>
    </row>
    <row r="3" customFormat="false" ht="12.8" hidden="false" customHeight="false" outlineLevel="0" collapsed="false">
      <c r="A3" s="16"/>
      <c r="B3" s="17" t="n">
        <v>2250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2026-01-29T05:37:25Z</dcterms:created>
  <dc:creator/>
  <dc:description/>
  <dc:language>en-US</dc:language>
  <cp:lastModifiedBy/>
  <dcterms:modified xsi:type="dcterms:W3CDTF">2026-01-29T08:16:03Z</dcterms:modified>
  <cp:revision>1</cp:revision>
  <dc:subject/>
  <dc:title/>
</cp:coreProperties>
</file>