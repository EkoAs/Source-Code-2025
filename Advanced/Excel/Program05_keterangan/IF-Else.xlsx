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charts/chart1.xml" ContentType="application/vnd.openxmlformats-officedocument.drawingml.char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<sst xmlns="http://schemas.openxmlformats.org/spreadsheetml/2006/main" count="47" uniqueCount="31">
  <si>
    <t xml:space="preserve">nama</t>
  </si>
  <si>
    <t xml:space="preserve">nilai</t>
  </si>
  <si>
    <t xml:space="preserve">nama barang</t>
  </si>
  <si>
    <t xml:space="preserve">harga</t>
  </si>
  <si>
    <t xml:space="preserve">statys</t>
  </si>
  <si>
    <t xml:space="preserve">yagaig</t>
  </si>
  <si>
    <t xml:space="preserve">mobil</t>
  </si>
  <si>
    <t xml:space="preserve">299</t>
  </si>
  <si>
    <t xml:space="preserve">afabiuf</t>
  </si>
  <si>
    <t xml:space="preserve">tank</t>
  </si>
  <si>
    <t xml:space="preserve">Mean</t>
  </si>
  <si>
    <t xml:space="preserve">ahiba</t>
  </si>
  <si>
    <t xml:space="preserve">helikopter</t>
  </si>
  <si>
    <t xml:space="preserve">Standard Error</t>
  </si>
  <si>
    <t xml:space="preserve">ajfda auhdao</t>
  </si>
  <si>
    <t xml:space="preserve">kkapa; laut</t>
  </si>
  <si>
    <t xml:space="preserve">Mode</t>
  </si>
  <si>
    <t xml:space="preserve">ahbak</t>
  </si>
  <si>
    <t xml:space="preserve">Median</t>
  </si>
  <si>
    <t xml:space="preserve">First Quartile</t>
  </si>
  <si>
    <t xml:space="preserve">Third Quartile</t>
  </si>
  <si>
    <t xml:space="preserve">Variance</t>
  </si>
  <si>
    <t xml:space="preserve">Standard Deviation</t>
  </si>
  <si>
    <t xml:space="preserve">Kurtosis</t>
  </si>
  <si>
    <t xml:space="preserve">Skewness</t>
  </si>
  <si>
    <t xml:space="preserve">Range</t>
  </si>
  <si>
    <t xml:space="preserve">Minimum</t>
  </si>
  <si>
    <t xml:space="preserve">Maximum</t>
  </si>
  <si>
    <t xml:space="preserve">Sum</t>
  </si>
  <si>
    <t xml:space="preserve">Count</t>
  </si>
  <si>
    <t xml:space="preserve">20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</si>
</sst>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Sheet1!$E$24:$E$32</c:f>
              <c:numCache>
                <c:formatCode>General</c:formatCode>
                <c:ptCount val="9"/>
                <c:pt idx="0">
                  <c:v>20</c:v>
                </c:pt>
                <c:pt idx="1">
                  <c:v>90</c:v>
                </c:pt>
                <c:pt idx="2">
                  <c:v>20</c:v>
                </c:pt>
                <c:pt idx="3">
                  <c:v>30</c:v>
                </c:pt>
                <c:pt idx="4">
                  <c:v>30</c:v>
                </c:pt>
                <c:pt idx="5">
                  <c:v>56</c:v>
                </c:pt>
                <c:pt idx="6">
                  <c:v>45</c:v>
                </c:pt>
                <c:pt idx="7">
                  <c:v>98</c:v>
                </c:pt>
                <c:pt idx="8">
                  <c:v>97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1"/>
        <c:axId val="35339901"/>
        <c:axId val="42861573"/>
      </c:lineChart>
      <c:catAx>
        <c:axId val="3533990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42861573"/>
        <c:crosses val="autoZero"/>
        <c:auto val="1"/>
        <c:lblAlgn val="ctr"/>
        <c:lblOffset val="100"/>
        <c:noMultiLvlLbl val="0"/>
      </c:catAx>
      <c:valAx>
        <c:axId val="4286157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35339901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681840</xdr:colOff>
      <xdr:row>17</xdr:row>
      <xdr:rowOff>111600</xdr:rowOff>
    </xdr:from>
    <xdr:to>
      <xdr:col>14</xdr:col>
      <xdr:colOff>751680</xdr:colOff>
      <xdr:row>37</xdr:row>
      <xdr:rowOff>99720</xdr:rowOff>
    </xdr:to>
    <xdr:graphicFrame>
      <xdr:nvGraphicFramePr>
        <xdr:cNvPr id="1" name=""/>
        <xdr:cNvGraphicFramePr/>
      </xdr:nvGraphicFramePr>
      <xdr:xfrm>
        <a:off x="6371280" y="287496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H39"/>
  <sheetViews>
    <sheetView showFormulas="false" showGridLines="true" showRowColHeaders="true" showZeros="true" rightToLeft="false" tabSelected="true" showOutlineSymbols="true" defaultGridColor="true" view="normal" topLeftCell="F10" colorId="64" zoomScale="80" zoomScaleNormal="80" zoomScalePageLayoutView="100" workbookViewId="0">
      <selection pane="topLeft" activeCell="J42" activeCellId="0" sqref="J42"/>
    </sheetView>
  </sheetViews>
  <sheetFormatPr defaultColWidth="11.53515625" defaultRowHeight="12.8" customHeight="false" zeroHeight="false" outlineLevelRow="0" outlineLevelCol="0"/>
  <sheetData>
    <row r="2" customFormat="false" ht="12.8" hidden="false" customHeight="false" outlineLevel="0" collapsed="false">
      <c r="A2" s="0" t="s">
        <v>0</v>
      </c>
      <c r="B2" s="0" t="s">
        <v>1</v>
      </c>
      <c r="D2" s="0" t="s">
        <v>2</v>
      </c>
      <c r="E2" s="0" t="s">
        <v>3</v>
      </c>
      <c r="F2" s="0" t="s">
        <v>4</v>
      </c>
    </row>
    <row r="3" customFormat="false" ht="12.8" hidden="false" customHeight="false" outlineLevel="0" collapsed="false">
      <c r="A3" s="0" t="s">
        <v>5</v>
      </c>
      <c r="B3" s="0" t="n">
        <v>23</v>
      </c>
      <c r="C3" s="0" t="str">
        <f aca="false">IF(B3&gt;80, "A", IF(B3&gt;70, "B", "C"))</f>
        <v>C</v>
      </c>
      <c r="D3" s="0" t="s">
        <v>6</v>
      </c>
      <c r="E3" s="0" t="n">
        <v>299</v>
      </c>
      <c r="F3" s="0" t="str">
        <f aca="false">IF(E3&lt;300, "Sedang", IF(E3&lt;2000, "Mahal", IF(E3&lt;4000, "mahalBAnget", "murah")))</f>
        <v>Sedang</v>
      </c>
      <c r="H3" s="1" t="s">
        <v>7</v>
      </c>
    </row>
    <row r="4" customFormat="false" ht="12.8" hidden="false" customHeight="false" outlineLevel="0" collapsed="false">
      <c r="A4" s="0" t="s">
        <v>8</v>
      </c>
      <c r="B4" s="0" t="n">
        <v>23</v>
      </c>
      <c r="C4" s="0" t="str">
        <f aca="false">IF(B4&gt;80, "A", IF(B4&gt;70, "B", "C"))</f>
        <v>C</v>
      </c>
      <c r="D4" s="0" t="s">
        <v>9</v>
      </c>
      <c r="E4" s="0" t="n">
        <v>900</v>
      </c>
      <c r="F4" s="0" t="str">
        <f aca="false">IF(E4&lt;300, "Sedang", IF(E4&lt;2000, "Mahal", IF(E4&lt;4000, "mahalBAnget", "murah")))</f>
        <v>Mahal</v>
      </c>
      <c r="G4" s="0" t="s">
        <v>10</v>
      </c>
      <c r="H4" s="0" t="n">
        <f aca="false">AVERAGE($E$3:$E$6)</f>
        <v>13572.25</v>
      </c>
    </row>
    <row r="5" customFormat="false" ht="12.8" hidden="false" customHeight="false" outlineLevel="0" collapsed="false">
      <c r="A5" s="0" t="s">
        <v>11</v>
      </c>
      <c r="B5" s="0" t="n">
        <v>55</v>
      </c>
      <c r="C5" s="0" t="str">
        <f aca="false">IF(B5&gt;80, "A", IF(B5&gt;70, "B", "C"))</f>
        <v>C</v>
      </c>
      <c r="D5" s="0" t="s">
        <v>12</v>
      </c>
      <c r="E5" s="0" t="n">
        <v>3000</v>
      </c>
      <c r="F5" s="0" t="str">
        <f aca="false">IF(E5&lt;300, "Sedang", IF(E5&lt;2000, "Mahal", IF(E5&gt;4000, "mahalBAnget", "murah")))</f>
        <v>murah</v>
      </c>
      <c r="G5" s="0" t="s">
        <v>13</v>
      </c>
      <c r="H5" s="0" t="n">
        <f aca="false">SQRT(VAR($E$3:$E$6)/COUNT($E$3:$E$6))</f>
        <v>12186.3435203441</v>
      </c>
    </row>
    <row r="6" customFormat="false" ht="12.8" hidden="false" customHeight="false" outlineLevel="0" collapsed="false">
      <c r="A6" s="0" t="s">
        <v>14</v>
      </c>
      <c r="B6" s="0" t="n">
        <v>98</v>
      </c>
      <c r="C6" s="0" t="str">
        <f aca="false">IF(B6&gt;80, "A", IF(B6&gt;70, "B", "C"))</f>
        <v>A</v>
      </c>
      <c r="D6" s="0" t="s">
        <v>15</v>
      </c>
      <c r="E6" s="0" t="n">
        <v>50090</v>
      </c>
      <c r="F6" s="0" t="str">
        <f aca="false">IF(E6&lt;300, "Sedang", IF(E6&lt;2000, "Mahal", IF(E6&gt;4000, "mahalBAnget", "murah")))</f>
        <v>mahalBAnget</v>
      </c>
      <c r="G6" s="0" t="s">
        <v>16</v>
      </c>
      <c r="H6" s="0" t="e">
        <f aca="false">MODE($E$3:$E$6)</f>
        <v>#VALUE!</v>
      </c>
    </row>
    <row r="7" customFormat="false" ht="12.8" hidden="false" customHeight="false" outlineLevel="0" collapsed="false">
      <c r="A7" s="0" t="s">
        <v>17</v>
      </c>
      <c r="B7" s="0" t="n">
        <v>23</v>
      </c>
      <c r="C7" s="0" t="str">
        <f aca="false">IF(B7&gt;80, "A", IF(B7&gt;70, "B", "C"))</f>
        <v>C</v>
      </c>
      <c r="G7" s="0" t="s">
        <v>18</v>
      </c>
      <c r="H7" s="0" t="n">
        <f aca="false">MEDIAN($E$3:$E$6)</f>
        <v>1950</v>
      </c>
    </row>
    <row r="8" customFormat="false" ht="12.8" hidden="false" customHeight="false" outlineLevel="0" collapsed="false">
      <c r="G8" s="0" t="s">
        <v>19</v>
      </c>
      <c r="H8" s="0" t="n">
        <f aca="false">QUARTILE($E$3:$E$6, 1)</f>
        <v>749.75</v>
      </c>
    </row>
    <row r="9" customFormat="false" ht="12.8" hidden="false" customHeight="false" outlineLevel="0" collapsed="false">
      <c r="G9" s="0" t="s">
        <v>20</v>
      </c>
      <c r="H9" s="0" t="n">
        <f aca="false">QUARTILE($E$3:$E$6, 3)</f>
        <v>14772.5</v>
      </c>
    </row>
    <row r="10" customFormat="false" ht="12.8" hidden="false" customHeight="false" outlineLevel="0" collapsed="false">
      <c r="G10" s="0" t="s">
        <v>21</v>
      </c>
      <c r="H10" s="0" t="n">
        <f aca="false">VAR($E$3:$E$6)</f>
        <v>594027873.583333</v>
      </c>
    </row>
    <row r="11" customFormat="false" ht="12.8" hidden="false" customHeight="false" outlineLevel="0" collapsed="false">
      <c r="G11" s="0" t="s">
        <v>22</v>
      </c>
      <c r="H11" s="0" t="n">
        <f aca="false">STDEV($E$3:$E$6)</f>
        <v>24372.6870406883</v>
      </c>
    </row>
    <row r="12" customFormat="false" ht="12.8" hidden="false" customHeight="false" outlineLevel="0" collapsed="false">
      <c r="G12" s="0" t="s">
        <v>23</v>
      </c>
      <c r="H12" s="0" t="n">
        <f aca="false">KURT($E$3:$E$6)</f>
        <v>3.95373428269916</v>
      </c>
    </row>
    <row r="13" customFormat="false" ht="12.8" hidden="false" customHeight="false" outlineLevel="0" collapsed="false">
      <c r="G13" s="0" t="s">
        <v>24</v>
      </c>
      <c r="H13" s="0" t="n">
        <f aca="false">SKEW($E$3:$E$6)</f>
        <v>1.98659092105511</v>
      </c>
    </row>
    <row r="14" customFormat="false" ht="12.8" hidden="false" customHeight="false" outlineLevel="0" collapsed="false">
      <c r="G14" s="0" t="s">
        <v>25</v>
      </c>
      <c r="H14" s="0" t="n">
        <f aca="false">MAX($E$3:$E$6)-MIN($E$3:$E$6)</f>
        <v>49791</v>
      </c>
    </row>
    <row r="15" customFormat="false" ht="12.8" hidden="false" customHeight="false" outlineLevel="0" collapsed="false">
      <c r="G15" s="0" t="s">
        <v>26</v>
      </c>
      <c r="H15" s="0" t="n">
        <f aca="false">MIN($E$3:$E$6)</f>
        <v>299</v>
      </c>
    </row>
    <row r="16" customFormat="false" ht="12.8" hidden="false" customHeight="false" outlineLevel="0" collapsed="false">
      <c r="G16" s="0" t="s">
        <v>27</v>
      </c>
      <c r="H16" s="0" t="n">
        <f aca="false">MAX($E$3:$E$6)</f>
        <v>50090</v>
      </c>
    </row>
    <row r="17" customFormat="false" ht="12.8" hidden="false" customHeight="false" outlineLevel="0" collapsed="false">
      <c r="G17" s="0" t="s">
        <v>28</v>
      </c>
      <c r="H17" s="0" t="n">
        <f aca="false">SUM($E$3:$E$6)</f>
        <v>54289</v>
      </c>
    </row>
    <row r="18" customFormat="false" ht="12.8" hidden="false" customHeight="false" outlineLevel="0" collapsed="false">
      <c r="G18" s="0" t="s">
        <v>29</v>
      </c>
      <c r="H18" s="0" t="n">
        <f aca="false">COUNT($E$3:$E$6)</f>
        <v>4</v>
      </c>
    </row>
    <row r="23" customFormat="false" ht="12.8" hidden="false" customHeight="false" outlineLevel="0" collapsed="false">
      <c r="E23" s="0" t="s">
        <v>1</v>
      </c>
    </row>
    <row r="24" customFormat="false" ht="12.8" hidden="false" customHeight="false" outlineLevel="0" collapsed="false">
      <c r="E24" s="0" t="n">
        <v>20</v>
      </c>
      <c r="G24" s="1" t="s">
        <v>30</v>
      </c>
    </row>
    <row r="25" customFormat="false" ht="12.8" hidden="false" customHeight="false" outlineLevel="0" collapsed="false">
      <c r="E25" s="0" t="n">
        <v>90</v>
      </c>
      <c r="F25" s="0" t="s">
        <v>10</v>
      </c>
      <c r="G25" s="0" t="n">
        <f aca="false">AVERAGE($E$24:$E$32)</f>
        <v>54</v>
      </c>
    </row>
    <row r="26" customFormat="false" ht="12.8" hidden="false" customHeight="false" outlineLevel="0" collapsed="false">
      <c r="E26" s="0" t="n">
        <v>20</v>
      </c>
      <c r="F26" s="0" t="s">
        <v>13</v>
      </c>
      <c r="G26" s="0" t="n">
        <f aca="false">SQRT(VAR($E$24:$E$32)/COUNT($E$24:$E$32))</f>
        <v>10.9481099332767</v>
      </c>
    </row>
    <row r="27" customFormat="false" ht="12.8" hidden="false" customHeight="false" outlineLevel="0" collapsed="false">
      <c r="E27" s="0" t="n">
        <v>30</v>
      </c>
      <c r="F27" s="0" t="s">
        <v>16</v>
      </c>
      <c r="G27" s="0" t="n">
        <f aca="false">MODE($E$24:$E$32)</f>
        <v>20</v>
      </c>
    </row>
    <row r="28" customFormat="false" ht="12.8" hidden="false" customHeight="false" outlineLevel="0" collapsed="false">
      <c r="E28" s="0" t="n">
        <v>30</v>
      </c>
      <c r="F28" s="0" t="s">
        <v>18</v>
      </c>
      <c r="G28" s="0" t="n">
        <f aca="false">MEDIAN($E$24:$E$32)</f>
        <v>45</v>
      </c>
    </row>
    <row r="29" customFormat="false" ht="12.8" hidden="false" customHeight="false" outlineLevel="0" collapsed="false">
      <c r="E29" s="0" t="n">
        <v>56</v>
      </c>
      <c r="F29" s="0" t="s">
        <v>19</v>
      </c>
      <c r="G29" s="0" t="n">
        <f aca="false">QUARTILE($E$24:$E$32, 1)</f>
        <v>30</v>
      </c>
    </row>
    <row r="30" customFormat="false" ht="12.8" hidden="false" customHeight="false" outlineLevel="0" collapsed="false">
      <c r="E30" s="0" t="n">
        <v>45</v>
      </c>
      <c r="F30" s="0" t="s">
        <v>20</v>
      </c>
      <c r="G30" s="0" t="n">
        <f aca="false">QUARTILE($E$24:$E$32, 3)</f>
        <v>90</v>
      </c>
    </row>
    <row r="31" customFormat="false" ht="12.8" hidden="false" customHeight="false" outlineLevel="0" collapsed="false">
      <c r="E31" s="0" t="n">
        <v>98</v>
      </c>
      <c r="F31" s="0" t="s">
        <v>21</v>
      </c>
      <c r="G31" s="0" t="n">
        <f aca="false">VAR($E$24:$E$32)</f>
        <v>1078.75</v>
      </c>
    </row>
    <row r="32" customFormat="false" ht="12.8" hidden="false" customHeight="false" outlineLevel="0" collapsed="false">
      <c r="E32" s="0" t="n">
        <v>97</v>
      </c>
      <c r="F32" s="0" t="s">
        <v>22</v>
      </c>
      <c r="G32" s="0" t="n">
        <f aca="false">STDEV($E$24:$E$32)</f>
        <v>32.84432979983</v>
      </c>
    </row>
    <row r="33" customFormat="false" ht="12.8" hidden="false" customHeight="false" outlineLevel="0" collapsed="false">
      <c r="F33" s="0" t="s">
        <v>23</v>
      </c>
      <c r="G33" s="0" t="n">
        <f aca="false">KURT($E$24:$E$32)</f>
        <v>-1.76573085077386</v>
      </c>
    </row>
    <row r="34" customFormat="false" ht="12.8" hidden="false" customHeight="false" outlineLevel="0" collapsed="false">
      <c r="F34" s="0" t="s">
        <v>24</v>
      </c>
      <c r="G34" s="0" t="n">
        <f aca="false">SKEW($E$24:$E$32)</f>
        <v>0.47342256359641</v>
      </c>
    </row>
    <row r="35" customFormat="false" ht="12.8" hidden="false" customHeight="false" outlineLevel="0" collapsed="false">
      <c r="F35" s="0" t="s">
        <v>25</v>
      </c>
      <c r="G35" s="0" t="n">
        <f aca="false">MAX($E$24:$E$32)-MIN($E$24:$E$32)</f>
        <v>78</v>
      </c>
    </row>
    <row r="36" customFormat="false" ht="12.8" hidden="false" customHeight="false" outlineLevel="0" collapsed="false">
      <c r="F36" s="0" t="s">
        <v>26</v>
      </c>
      <c r="G36" s="0" t="n">
        <f aca="false">MIN($E$24:$E$32)</f>
        <v>20</v>
      </c>
    </row>
    <row r="37" customFormat="false" ht="12.8" hidden="false" customHeight="false" outlineLevel="0" collapsed="false">
      <c r="F37" s="0" t="s">
        <v>27</v>
      </c>
      <c r="G37" s="0" t="n">
        <f aca="false">MAX($E$24:$E$32)</f>
        <v>98</v>
      </c>
    </row>
    <row r="38" customFormat="false" ht="12.8" hidden="false" customHeight="false" outlineLevel="0" collapsed="false">
      <c r="F38" s="0" t="s">
        <v>28</v>
      </c>
      <c r="G38" s="0" t="n">
        <f aca="false">SUM($E$24:$E$32)</f>
        <v>486</v>
      </c>
    </row>
    <row r="39" customFormat="false" ht="12.8" hidden="false" customHeight="false" outlineLevel="0" collapsed="false">
      <c r="F39" s="0" t="s">
        <v>29</v>
      </c>
      <c r="G39" s="0" t="n">
        <f aca="false">COUNT($E$24:$E$32)</f>
        <v>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2026-02-10T07:03:14Z</dcterms:created>
  <dc:creator/>
  <dc:description/>
  <dc:language>en-US</dc:language>
  <cp:lastModifiedBy/>
  <dcterms:modified xsi:type="dcterms:W3CDTF">2026-02-10T08:02:52Z</dcterms:modified>
  <cp:revision>3</cp:revision>
  <dc:subject/>
  <dc:title/>
</cp:coreProperties>
</file>